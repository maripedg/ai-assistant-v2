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Mario Pedraza\Presales\NSW\"/>
    </mc:Choice>
  </mc:AlternateContent>
  <xr:revisionPtr revIDLastSave="0" documentId="13_ncr:1_{527C16F5-EAAA-43BC-A83F-950FC85A339D}" xr6:coauthVersionLast="47" xr6:coauthVersionMax="47" xr10:uidLastSave="{00000000-0000-0000-0000-000000000000}"/>
  <bookViews>
    <workbookView xWindow="28680" yWindow="-120" windowWidth="29040" windowHeight="15720" activeTab="1" xr2:uid="{4849CC75-F9FF-4AD0-9AB5-75681B757854}"/>
  </bookViews>
  <sheets>
    <sheet name="Instructions" sheetId="1" r:id="rId1"/>
    <sheet name="Price Template" sheetId="7" r:id="rId2"/>
    <sheet name="Supplier Rate Card" sheetId="6" r:id="rId3"/>
  </sheets>
  <definedNames>
    <definedName name="_Toc44590777" localSheetId="0">Instructions!#REF!</definedName>
    <definedName name="_Toc44590778" localSheetId="0">Instructions!#REF!</definedName>
    <definedName name="List" localSheetId="1">#REF!</definedName>
    <definedName name="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7" l="1"/>
  <c r="H13" i="7" s="1"/>
  <c r="H6" i="7"/>
  <c r="G11" i="7"/>
  <c r="G10" i="7"/>
  <c r="G9" i="7"/>
  <c r="K2" i="7"/>
  <c r="H12" i="7"/>
  <c r="H8" i="7"/>
  <c r="H7" i="7"/>
  <c r="H11" i="7" l="1"/>
  <c r="H9" i="7"/>
  <c r="H10" i="7"/>
  <c r="D16" i="7" l="1"/>
  <c r="H1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Kerry Zhuang</author>
  </authors>
  <commentList>
    <comment ref="G6" authorId="0" shapeId="0" xr:uid="{A73BE893-F1BF-45B4-829B-84C7BB526FE2}">
      <text>
        <r>
          <rPr>
            <sz val="9"/>
            <color indexed="81"/>
            <rFont val="Tahoma"/>
            <family val="2"/>
          </rPr>
          <t>Insert cost per item per month</t>
        </r>
      </text>
    </comment>
    <comment ref="G7" authorId="0" shapeId="0" xr:uid="{3D4B635A-3D0A-4BCB-994C-D324B609B0C9}">
      <text>
        <r>
          <rPr>
            <sz val="9"/>
            <color indexed="81"/>
            <rFont val="Tahoma"/>
            <family val="2"/>
          </rPr>
          <t>Insert cost per item per month</t>
        </r>
      </text>
    </comment>
    <comment ref="G8" authorId="0" shapeId="0" xr:uid="{134C56E9-02FC-4AA9-B0E6-F8CF9194A1C3}">
      <text>
        <r>
          <rPr>
            <sz val="9"/>
            <color indexed="81"/>
            <rFont val="Tahoma"/>
            <family val="2"/>
          </rPr>
          <t>Insert cost per item per month</t>
        </r>
      </text>
    </comment>
    <comment ref="G9" authorId="0" shapeId="0" xr:uid="{9EAD2D19-43CD-4214-B26E-B1637C208E9A}">
      <text>
        <r>
          <rPr>
            <sz val="9"/>
            <color indexed="81"/>
            <rFont val="Tahoma"/>
            <family val="2"/>
          </rPr>
          <t>Insert cost per item per month</t>
        </r>
      </text>
    </comment>
    <comment ref="G10" authorId="0" shapeId="0" xr:uid="{65C574F5-99DF-465C-B540-4BC864907552}">
      <text>
        <r>
          <rPr>
            <sz val="9"/>
            <color indexed="81"/>
            <rFont val="Tahoma"/>
            <family val="2"/>
          </rPr>
          <t>Insert cost per item per month</t>
        </r>
      </text>
    </comment>
    <comment ref="G11" authorId="0" shapeId="0" xr:uid="{C2645627-FFBB-4A2D-8A55-511D56074DAB}">
      <text>
        <r>
          <rPr>
            <sz val="9"/>
            <color indexed="81"/>
            <rFont val="Tahoma"/>
            <family val="2"/>
          </rPr>
          <t>Insert cost per item per month</t>
        </r>
      </text>
    </comment>
    <comment ref="G12" authorId="0" shapeId="0" xr:uid="{F4D10C59-3F11-4F77-95B8-4BB9FCCE1BA7}">
      <text>
        <r>
          <rPr>
            <sz val="9"/>
            <color indexed="81"/>
            <rFont val="Tahoma"/>
            <family val="2"/>
          </rPr>
          <t>Insert cost per item per annum</t>
        </r>
      </text>
    </comment>
    <comment ref="G13" authorId="0" shapeId="0" xr:uid="{D7CA6CEB-CBDC-4924-9125-3D3B591D8092}">
      <text>
        <r>
          <rPr>
            <sz val="9"/>
            <color indexed="81"/>
            <rFont val="Tahoma"/>
            <family val="2"/>
          </rPr>
          <t>Insert cost per item</t>
        </r>
      </text>
    </comment>
  </commentList>
</comments>
</file>

<file path=xl/sharedStrings.xml><?xml version="1.0" encoding="utf-8"?>
<sst xmlns="http://schemas.openxmlformats.org/spreadsheetml/2006/main" count="54" uniqueCount="48">
  <si>
    <t>PART B - PRICING TEMPLATE</t>
  </si>
  <si>
    <t>RESPONDENT:</t>
  </si>
  <si>
    <t>RFx NUMBER:</t>
  </si>
  <si>
    <t>Instructions for the RFx Respondent/Supplier</t>
  </si>
  <si>
    <t>Selected Price Basis:</t>
  </si>
  <si>
    <r>
      <t xml:space="preserve">Price Basis </t>
    </r>
    <r>
      <rPr>
        <sz val="12"/>
        <color theme="1"/>
        <rFont val="Calibri"/>
        <family val="2"/>
        <scheme val="minor"/>
      </rPr>
      <t>(Enter selected price basis above 1, 2 or 3)</t>
    </r>
  </si>
  <si>
    <t>Respondents may offer pricing using one of the following models:</t>
  </si>
  <si>
    <t>1. A firm basis for the whole term of the agreement; or</t>
  </si>
  <si>
    <t>2. A variable basis whereby the pricing for each year is nominated in the response taking into account estimated price movements and additional administrative costs, which may be incurred. If pricing on this basis is offered pleas eprovide a separate pricing table for each year of the agreement in this pricing template by making a copy of the Services tab for each year and naming these tabs Year 1, Year 2, Year 3, Year 4 and Year 5; or</t>
  </si>
  <si>
    <t>3. A firm basis for a minimum period of 12 months then subject to variation. Any such variation will be capped in accordane with variations in the Consumer Porice Index using the following calculation:
OF x CCPI / OCPI = RF
Where:
OF = Original service fee or schedule of rates at commencement of the contract
OCPI = Original CPI available immediately before the commencement of the contract
CCPI = the current CPI available immeditaely prior to the annual contract anniversary
RF = Revised fee, the revised service fee or revised schedule of rates</t>
  </si>
  <si>
    <t xml:space="preserve">DCS Price Template </t>
  </si>
  <si>
    <t>Pricing Category</t>
  </si>
  <si>
    <t>Cost per annum</t>
  </si>
  <si>
    <t>Sub-total</t>
  </si>
  <si>
    <t>Supplier Rate Card</t>
  </si>
  <si>
    <t>Session Border Controller as a Service (SBCaaS) Teams</t>
  </si>
  <si>
    <t>Teams Voice</t>
  </si>
  <si>
    <t xml:space="preserve">Cisco Unified Border Element (CUBE) – Configuration and Break/Fix </t>
  </si>
  <si>
    <t>Cisco Diagnostic Tool</t>
  </si>
  <si>
    <t>Supply of Handsets to Contact Centre agents  - Jabra Biz 2400 Handset</t>
  </si>
  <si>
    <t>Contact Centre Supervisor Headsets</t>
  </si>
  <si>
    <t xml:space="preserve">Teams call queue management – Create IVRs, Call flow changes </t>
  </si>
  <si>
    <t xml:space="preserve">Teams call queue management – Move/Add, IVRs, Call flow changes </t>
  </si>
  <si>
    <t>Enterprise Voice Connection fee &amp; Rooms (Onboarding)</t>
  </si>
  <si>
    <t>Onboarding New Users for Teams/Skype</t>
  </si>
  <si>
    <t xml:space="preserve">Migrations and Critical updates </t>
  </si>
  <si>
    <t>Patching and upgrades to servers</t>
  </si>
  <si>
    <t>Descrption</t>
  </si>
  <si>
    <t>Invoice Frequency</t>
  </si>
  <si>
    <t>Monthly</t>
  </si>
  <si>
    <t>As required</t>
  </si>
  <si>
    <t>Included</t>
  </si>
  <si>
    <t>One-off</t>
  </si>
  <si>
    <t xml:space="preserve">Transition Cost </t>
  </si>
  <si>
    <t>Transition in &amp; out cost</t>
  </si>
  <si>
    <t xml:space="preserve">Min. QTY / Month </t>
  </si>
  <si>
    <t>Max. QTY/Month</t>
  </si>
  <si>
    <t>Comments</t>
  </si>
  <si>
    <t>Note: 1. Please only fill in cells highlighted in yellow</t>
  </si>
  <si>
    <t>Rate in AUD
(exc GST)</t>
  </si>
  <si>
    <t>5-year Total Cost in AUD (exc GST)</t>
  </si>
  <si>
    <t>DICT/10696 Enterprise Voice Functionality</t>
  </si>
  <si>
    <t>1. Please enter pricing in the format requested within the Price Template tab. 
2. Please provide relevant rate card and pricing breaks under Supplier Rate Card tab.</t>
  </si>
  <si>
    <t xml:space="preserve">           2. QTY per month may fluctuate based on actual usage</t>
  </si>
  <si>
    <t>[insert 1, 2 or 3]</t>
  </si>
  <si>
    <t>[insert company name]</t>
  </si>
  <si>
    <t>Note: please insert your company rate card and include pricing breaks (if applicable).</t>
  </si>
  <si>
    <t>RATE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</si>
</sst>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00_-;\-&quot;$&quot;* #,##0.00_-;_-&quot;$&quot;* &quot;-&quot;??_-;_-@_-"/>
    <numFmt numFmtId="165" formatCode="_-* #,##0.00_-;\-* #,##0.00_-;_-* &quot;-&quot;??_-;_-@_-"/>
  </numFmts>
  <fonts count="16" x14ac:knownFonts="1">
    <font>
      <sz val="11"/>
      <color theme="1"/>
      <name val="Calibri"/>
      <family val="2"/>
      <scheme val="minor"/>
    </font>
    <font>
      <b/>
      <sz val="14"/>
      <color theme="1"/>
      <name val="Calibri"/>
      <family val="2"/>
      <scheme val="minor"/>
    </font>
    <font>
      <sz val="12"/>
      <color theme="1"/>
      <name val="Calibri"/>
      <family val="2"/>
      <scheme val="minor"/>
    </font>
    <font>
      <sz val="11"/>
      <color theme="1"/>
      <name val="Calibri"/>
      <family val="2"/>
      <scheme val="minor"/>
    </font>
    <font>
      <sz val="10"/>
      <name val="Arial"/>
      <family val="2"/>
    </font>
    <font>
      <b/>
      <sz val="14"/>
      <color theme="0"/>
      <name val="Calibri"/>
      <family val="2"/>
      <scheme val="minor"/>
    </font>
    <font>
      <sz val="9"/>
      <color theme="1"/>
      <name val="Calibri"/>
      <family val="2"/>
      <scheme val="minor"/>
    </font>
    <font>
      <b/>
      <sz val="9"/>
      <color theme="0"/>
      <name val="Calibri"/>
      <family val="2"/>
      <scheme val="minor"/>
    </font>
    <font>
      <i/>
      <sz val="9"/>
      <color rgb="FFC00000"/>
      <name val="Calibri"/>
      <family val="2"/>
      <scheme val="minor"/>
    </font>
    <font>
      <b/>
      <sz val="9"/>
      <name val="Calibri"/>
      <family val="2"/>
      <scheme val="minor"/>
    </font>
    <font>
      <b/>
      <sz val="9"/>
      <color indexed="9"/>
      <name val="Calibri"/>
      <family val="2"/>
      <scheme val="minor"/>
    </font>
    <font>
      <sz val="9"/>
      <name val="Calibri"/>
      <family val="2"/>
      <scheme val="minor"/>
    </font>
    <font>
      <sz val="9"/>
      <color theme="0"/>
      <name val="Calibri"/>
      <family val="2"/>
      <scheme val="minor"/>
    </font>
    <font>
      <sz val="9"/>
      <color indexed="18"/>
      <name val="Calibri"/>
      <family val="2"/>
      <scheme val="minor"/>
    </font>
    <font>
      <sz val="9"/>
      <color rgb="FFFF0000"/>
      <name val="Calibri"/>
      <family val="2"/>
      <scheme val="minor"/>
    </font>
    <font>
      <sz val="9"/>
      <color indexed="81"/>
      <name val="Tahoma"/>
      <family val="2"/>
    </font>
  </fonts>
  <fills count="8">
    <fill>
      <patternFill patternType="none"/>
    </fill>
    <fill>
      <patternFill patternType="gray125"/>
    </fill>
    <fill>
      <patternFill patternType="solid">
        <fgColor theme="7" tint="0.79998168889431442"/>
        <bgColor indexed="64"/>
      </patternFill>
    </fill>
    <fill>
      <patternFill patternType="solid">
        <fgColor theme="1"/>
        <bgColor indexed="64"/>
      </patternFill>
    </fill>
    <fill>
      <patternFill patternType="solid">
        <fgColor theme="4"/>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164" fontId="3" fillId="0" borderId="0" applyFont="0" applyFill="0" applyBorder="0" applyAlignment="0" applyProtection="0"/>
    <xf numFmtId="165" fontId="4" fillId="0" borderId="0" applyFont="0" applyFill="0" applyBorder="0" applyAlignment="0" applyProtection="0"/>
  </cellStyleXfs>
  <cellXfs count="57">
    <xf numFmtId="0" fontId="0" fillId="0" borderId="0" xfId="0"/>
    <xf numFmtId="0" fontId="2" fillId="0" borderId="0" xfId="0" applyFont="1" applyAlignment="1">
      <alignment horizontal="left" wrapText="1"/>
    </xf>
    <xf numFmtId="0" fontId="1" fillId="0" borderId="0" xfId="0" applyFont="1" applyAlignment="1">
      <alignment vertical="center"/>
    </xf>
    <xf numFmtId="0" fontId="0" fillId="0" borderId="0" xfId="0" applyAlignment="1">
      <alignment vertical="center"/>
    </xf>
    <xf numFmtId="0" fontId="6" fillId="0" borderId="0" xfId="0" applyFont="1" applyAlignment="1">
      <alignment vertical="center"/>
    </xf>
    <xf numFmtId="0" fontId="8" fillId="0" borderId="0" xfId="0" applyFont="1" applyAlignment="1">
      <alignment horizontal="left" vertical="center"/>
    </xf>
    <xf numFmtId="0" fontId="9" fillId="0" borderId="0" xfId="0" applyFont="1" applyAlignment="1" applyProtection="1">
      <alignment horizontal="left" vertical="center" wrapText="1"/>
      <protection locked="0"/>
    </xf>
    <xf numFmtId="0" fontId="10" fillId="0" borderId="0" xfId="0" applyFont="1" applyAlignment="1">
      <alignment horizontal="center" vertical="center"/>
    </xf>
    <xf numFmtId="0" fontId="9" fillId="0" borderId="0" xfId="0" applyFont="1" applyAlignment="1" applyProtection="1">
      <alignment horizontal="left" vertical="center"/>
      <protection locked="0"/>
    </xf>
    <xf numFmtId="0" fontId="9" fillId="5" borderId="1" xfId="0" applyFont="1" applyFill="1" applyBorder="1" applyAlignment="1">
      <alignment horizontal="left" vertical="center"/>
    </xf>
    <xf numFmtId="0" fontId="9" fillId="5" borderId="1" xfId="0" applyFont="1" applyFill="1" applyBorder="1" applyAlignment="1">
      <alignment horizontal="center" vertical="center" wrapText="1"/>
    </xf>
    <xf numFmtId="0" fontId="11" fillId="0" borderId="1" xfId="0" applyFont="1" applyBorder="1" applyAlignment="1">
      <alignment horizontal="left" vertical="center" wrapText="1"/>
    </xf>
    <xf numFmtId="164" fontId="11" fillId="2" borderId="1" xfId="1" applyFont="1" applyFill="1" applyBorder="1" applyAlignment="1">
      <alignment horizontal="left" vertical="center" wrapText="1"/>
    </xf>
    <xf numFmtId="164" fontId="6" fillId="0" borderId="1" xfId="1" applyFont="1" applyFill="1" applyBorder="1" applyAlignment="1">
      <alignment horizontal="center" vertical="center"/>
    </xf>
    <xf numFmtId="0" fontId="11" fillId="0" borderId="1" xfId="0" applyFont="1" applyBorder="1" applyAlignment="1">
      <alignment vertical="center" wrapText="1"/>
    </xf>
    <xf numFmtId="164" fontId="11" fillId="2" borderId="1" xfId="1" applyFont="1" applyFill="1" applyBorder="1" applyAlignment="1">
      <alignment vertical="center" wrapText="1"/>
    </xf>
    <xf numFmtId="0" fontId="9" fillId="6" borderId="1" xfId="0" applyFont="1" applyFill="1" applyBorder="1" applyAlignment="1">
      <alignment horizontal="left" vertical="center"/>
    </xf>
    <xf numFmtId="0" fontId="11" fillId="6" borderId="1" xfId="0" applyFont="1" applyFill="1" applyBorder="1" applyAlignment="1">
      <alignment vertical="center" wrapText="1"/>
    </xf>
    <xf numFmtId="164" fontId="12" fillId="4" borderId="1" xfId="1" applyFont="1" applyFill="1" applyBorder="1" applyAlignment="1">
      <alignment horizontal="center" vertical="center"/>
    </xf>
    <xf numFmtId="0" fontId="9" fillId="0" borderId="0" xfId="0" applyFont="1" applyAlignment="1">
      <alignment horizontal="left" vertical="center"/>
    </xf>
    <xf numFmtId="0" fontId="13" fillId="0" borderId="0" xfId="0" applyFont="1" applyAlignment="1" applyProtection="1">
      <alignment horizontal="center" vertical="center" wrapText="1"/>
      <protection locked="0"/>
    </xf>
    <xf numFmtId="0" fontId="7" fillId="3" borderId="1" xfId="0" applyFont="1" applyFill="1" applyBorder="1" applyAlignment="1">
      <alignment vertical="center"/>
    </xf>
    <xf numFmtId="164" fontId="7" fillId="3" borderId="1" xfId="0" applyNumberFormat="1" applyFont="1" applyFill="1" applyBorder="1" applyAlignment="1">
      <alignment vertical="center"/>
    </xf>
    <xf numFmtId="0" fontId="6" fillId="0" borderId="0" xfId="0" applyFont="1"/>
    <xf numFmtId="0" fontId="6" fillId="0" borderId="0" xfId="0" applyFont="1" applyAlignment="1">
      <alignment horizontal="center"/>
    </xf>
    <xf numFmtId="0" fontId="0" fillId="0" borderId="5" xfId="0" applyBorder="1"/>
    <xf numFmtId="0" fontId="0" fillId="0" borderId="2" xfId="0" applyBorder="1"/>
    <xf numFmtId="0" fontId="0" fillId="0" borderId="6" xfId="0" applyBorder="1"/>
    <xf numFmtId="0" fontId="0" fillId="0" borderId="3" xfId="0" applyBorder="1"/>
    <xf numFmtId="0" fontId="0" fillId="0" borderId="7" xfId="0" applyBorder="1"/>
    <xf numFmtId="0" fontId="0" fillId="0" borderId="8" xfId="0" applyBorder="1"/>
    <xf numFmtId="0" fontId="0" fillId="0" borderId="9" xfId="0" applyBorder="1"/>
    <xf numFmtId="0" fontId="0" fillId="0" borderId="10" xfId="0" applyBorder="1"/>
    <xf numFmtId="0" fontId="6" fillId="0" borderId="1" xfId="0" applyFont="1" applyBorder="1" applyAlignment="1">
      <alignment vertical="center"/>
    </xf>
    <xf numFmtId="0" fontId="11" fillId="0" borderId="4" xfId="0" applyFont="1" applyBorder="1" applyAlignment="1">
      <alignment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4" fillId="0" borderId="1" xfId="0" applyFont="1" applyBorder="1" applyAlignment="1">
      <alignment vertical="center" wrapText="1"/>
    </xf>
    <xf numFmtId="0" fontId="11" fillId="2" borderId="1" xfId="0" applyFont="1" applyFill="1" applyBorder="1" applyAlignment="1">
      <alignment horizontal="left" vertical="center" wrapText="1"/>
    </xf>
    <xf numFmtId="0" fontId="11" fillId="2" borderId="1" xfId="0" applyFont="1" applyFill="1" applyBorder="1" applyAlignment="1">
      <alignment vertical="center" wrapText="1"/>
    </xf>
    <xf numFmtId="0" fontId="14" fillId="2" borderId="1" xfId="0" applyFont="1" applyFill="1" applyBorder="1" applyAlignment="1">
      <alignment vertical="center" wrapText="1"/>
    </xf>
    <xf numFmtId="0" fontId="0" fillId="2" borderId="0" xfId="0" applyFill="1" applyAlignment="1">
      <alignment vertical="center"/>
    </xf>
    <xf numFmtId="44" fontId="6" fillId="0" borderId="0" xfId="0" applyNumberFormat="1" applyFont="1" applyAlignment="1">
      <alignment horizontal="center" vertical="center"/>
    </xf>
    <xf numFmtId="44" fontId="6" fillId="0" borderId="0" xfId="0" applyNumberFormat="1" applyFont="1" applyAlignment="1">
      <alignment horizontal="center"/>
    </xf>
    <xf numFmtId="164" fontId="6" fillId="0" borderId="0" xfId="1" applyFont="1"/>
    <xf numFmtId="44" fontId="6" fillId="0" borderId="0" xfId="0" applyNumberFormat="1" applyFont="1" applyAlignment="1">
      <alignment vertical="center"/>
    </xf>
    <xf numFmtId="44" fontId="6" fillId="0" borderId="0" xfId="0" applyNumberFormat="1" applyFont="1"/>
    <xf numFmtId="44" fontId="13" fillId="0" borderId="0" xfId="0" applyNumberFormat="1" applyFont="1" applyAlignment="1" applyProtection="1">
      <alignment horizontal="center" vertical="center" wrapText="1"/>
      <protection locked="0"/>
    </xf>
    <xf numFmtId="0" fontId="0"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center"/>
    </xf>
    <xf numFmtId="0" fontId="5" fillId="3" borderId="3" xfId="0" applyFont="1" applyFill="1" applyBorder="1" applyAlignment="1" applyProtection="1">
      <alignment horizontal="left" vertical="center" wrapText="1"/>
      <protection locked="0"/>
    </xf>
    <xf numFmtId="0" fontId="5" fillId="3" borderId="0" xfId="0" applyFont="1" applyFill="1" applyAlignment="1" applyProtection="1">
      <alignment horizontal="left" vertical="center" wrapText="1"/>
      <protection locked="0"/>
    </xf>
    <xf numFmtId="0" fontId="5" fillId="4" borderId="3" xfId="0" applyFont="1" applyFill="1" applyBorder="1" applyAlignment="1" applyProtection="1">
      <alignment horizontal="left" vertical="top" wrapText="1"/>
      <protection locked="0"/>
    </xf>
    <xf numFmtId="0" fontId="5" fillId="4" borderId="0" xfId="0" applyFont="1" applyFill="1" applyAlignment="1" applyProtection="1">
      <alignment horizontal="left" vertical="top" wrapText="1"/>
      <protection locked="0"/>
    </xf>
    <xf numFmtId="0" fontId="11" fillId="7" borderId="1" xfId="0" applyFont="1" applyFill="1" applyBorder="1" applyAlignment="1">
      <alignment vertical="center" wrapText="1"/>
    </xf>
  </cellXfs>
  <cellStyles count="3">
    <cellStyle name="Comma 3" xfId="2" xr:uid="{BE76B48D-382E-42E1-A47D-1BC8E7C5800A}"/>
    <cellStyle name="Currency" xfId="1" builtinId="4"/>
    <cellStyle name="Normal" xfId="0" builtinId="0"/>
  </cellStyles>
  <dxfs count="1">
    <dxf>
      <font>
        <b/>
        <i val="0"/>
        <condense val="0"/>
        <extend val="0"/>
        <color indexed="10"/>
      </font>
      <border>
        <left style="thin">
          <color indexed="10"/>
        </left>
        <right style="thin">
          <color indexed="10"/>
        </right>
        <top style="thin">
          <color indexed="10"/>
        </top>
        <bottom style="thin">
          <color indexed="1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http://i5.cmail20.com/ei/i/A4/A4D/D63/122120/csfinal/CustomerServicelogo-38c9cb39db899e08.jpg" TargetMode="External"/></Relationships>
</file>

<file path=xl/drawings/drawing1.xml><?xml version="1.0" encoding="utf-8"?>
<xdr:wsDr xmlns:xdr="http://schemas.openxmlformats.org/drawingml/2006/spreadsheetDrawing" xmlns:a="http://schemas.openxmlformats.org/drawingml/2006/main">
  <xdr:twoCellAnchor>
    <xdr:from>
      <xdr:col>0</xdr:col>
      <xdr:colOff>606777</xdr:colOff>
      <xdr:row>0</xdr:row>
      <xdr:rowOff>0</xdr:rowOff>
    </xdr:from>
    <xdr:to>
      <xdr:col>2</xdr:col>
      <xdr:colOff>742303</xdr:colOff>
      <xdr:row>3</xdr:row>
      <xdr:rowOff>261055</xdr:rowOff>
    </xdr:to>
    <xdr:pic>
      <xdr:nvPicPr>
        <xdr:cNvPr id="2" name="Picture 1" descr="http://i5.cmail20.com/ei/i/A4/A4D/D63/122120/csfinal/CustomerServicelogo-38c9cb39db899e08.jpg">
          <a:extLst>
            <a:ext uri="{FF2B5EF4-FFF2-40B4-BE49-F238E27FC236}">
              <a16:creationId xmlns:a16="http://schemas.microsoft.com/office/drawing/2014/main" id="{BD454B99-F3A8-4A29-AE26-034DE525467B}"/>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606777" y="366888"/>
          <a:ext cx="2400359" cy="8113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A22F-8B61-48A7-9879-03D5A48FF0A9}">
  <dimension ref="B4:D19"/>
  <sheetViews>
    <sheetView showGridLines="0" topLeftCell="A4" zoomScaleNormal="100" workbookViewId="0">
      <selection activeCell="C8" sqref="C8"/>
    </sheetView>
  </sheetViews>
  <sheetFormatPr defaultRowHeight="14.5" x14ac:dyDescent="0.35"/>
  <cols>
    <col min="1" max="1" width="4.453125" customWidth="1"/>
    <col min="2" max="2" width="23.7265625" customWidth="1"/>
    <col min="3" max="3" width="91" customWidth="1"/>
    <col min="4" max="4" width="5.81640625" customWidth="1"/>
  </cols>
  <sheetData>
    <row r="4" spans="2:4" ht="33.65" customHeight="1" x14ac:dyDescent="0.35"/>
    <row r="6" spans="2:4" ht="18.5" x14ac:dyDescent="0.35">
      <c r="B6" s="2" t="s">
        <v>0</v>
      </c>
      <c r="C6" s="3"/>
    </row>
    <row r="7" spans="2:4" ht="18.5" x14ac:dyDescent="0.35">
      <c r="B7" s="2"/>
      <c r="C7" s="3"/>
    </row>
    <row r="8" spans="2:4" ht="18.5" x14ac:dyDescent="0.35">
      <c r="B8" s="2" t="s">
        <v>1</v>
      </c>
      <c r="C8" s="41" t="s">
        <v>45</v>
      </c>
    </row>
    <row r="9" spans="2:4" ht="18.5" x14ac:dyDescent="0.35">
      <c r="B9" s="2" t="s">
        <v>2</v>
      </c>
      <c r="C9" s="3" t="s">
        <v>41</v>
      </c>
    </row>
    <row r="10" spans="2:4" x14ac:dyDescent="0.35">
      <c r="B10" s="3"/>
      <c r="C10" s="3"/>
    </row>
    <row r="11" spans="2:4" x14ac:dyDescent="0.35">
      <c r="B11" s="3"/>
      <c r="C11" s="3"/>
    </row>
    <row r="12" spans="2:4" ht="18.5" x14ac:dyDescent="0.35">
      <c r="B12" s="51" t="s">
        <v>3</v>
      </c>
      <c r="C12" s="51"/>
      <c r="D12" s="1"/>
    </row>
    <row r="13" spans="2:4" ht="47.5" customHeight="1" x14ac:dyDescent="0.35">
      <c r="B13" s="49" t="s">
        <v>42</v>
      </c>
      <c r="C13" s="50"/>
    </row>
    <row r="14" spans="2:4" ht="29.15" customHeight="1" x14ac:dyDescent="0.35">
      <c r="B14" s="2" t="s">
        <v>4</v>
      </c>
      <c r="C14" s="41" t="s">
        <v>44</v>
      </c>
    </row>
    <row r="15" spans="2:4" ht="24" customHeight="1" x14ac:dyDescent="0.35">
      <c r="B15" s="51" t="s">
        <v>5</v>
      </c>
      <c r="C15" s="51"/>
    </row>
    <row r="16" spans="2:4" ht="21.65" customHeight="1" x14ac:dyDescent="0.35">
      <c r="B16" s="48" t="s">
        <v>6</v>
      </c>
      <c r="C16" s="48"/>
    </row>
    <row r="17" spans="2:3" x14ac:dyDescent="0.35">
      <c r="B17" s="48" t="s">
        <v>7</v>
      </c>
      <c r="C17" s="48"/>
    </row>
    <row r="18" spans="2:3" ht="67.5" customHeight="1" x14ac:dyDescent="0.35">
      <c r="B18" s="48" t="s">
        <v>8</v>
      </c>
      <c r="C18" s="48"/>
    </row>
    <row r="19" spans="2:3" ht="148.5" customHeight="1" x14ac:dyDescent="0.35">
      <c r="B19" s="48" t="s">
        <v>9</v>
      </c>
      <c r="C19" s="48"/>
    </row>
  </sheetData>
  <mergeCells count="7">
    <mergeCell ref="B18:C18"/>
    <mergeCell ref="B19:C19"/>
    <mergeCell ref="B13:C13"/>
    <mergeCell ref="B12:C12"/>
    <mergeCell ref="B15:C15"/>
    <mergeCell ref="B16:C16"/>
    <mergeCell ref="B17:C17"/>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75173-05BF-4AB7-B708-6D8E78E86512}">
  <dimension ref="B1:K20"/>
  <sheetViews>
    <sheetView showGridLines="0" tabSelected="1" zoomScaleNormal="100" workbookViewId="0">
      <selection activeCell="E19" sqref="E19:E20"/>
    </sheetView>
  </sheetViews>
  <sheetFormatPr defaultColWidth="8.7265625" defaultRowHeight="12" x14ac:dyDescent="0.3"/>
  <cols>
    <col min="1" max="1" width="2.54296875" style="23" customWidth="1"/>
    <col min="2" max="2" width="38.36328125" style="23" bestFit="1" customWidth="1"/>
    <col min="3" max="3" width="36.54296875" style="23" customWidth="1"/>
    <col min="4" max="4" width="13.453125" style="23" bestFit="1" customWidth="1"/>
    <col min="5" max="5" width="14.81640625" style="23" customWidth="1"/>
    <col min="6" max="7" width="12.81640625" style="23" customWidth="1"/>
    <col min="8" max="8" width="13.1796875" style="24" bestFit="1" customWidth="1"/>
    <col min="9" max="9" width="13.7265625" style="23" customWidth="1"/>
    <col min="10" max="10" width="8.7265625" style="23"/>
    <col min="11" max="11" width="9.90625" style="23" bestFit="1" customWidth="1"/>
    <col min="12" max="16384" width="8.7265625" style="23"/>
  </cols>
  <sheetData>
    <row r="1" spans="2:11" s="4" customFormat="1" ht="18.5" x14ac:dyDescent="0.35">
      <c r="B1" s="52" t="s">
        <v>10</v>
      </c>
      <c r="C1" s="53"/>
      <c r="D1" s="53"/>
      <c r="E1" s="53"/>
      <c r="F1" s="53"/>
      <c r="G1" s="53"/>
      <c r="H1" s="53"/>
    </row>
    <row r="2" spans="2:11" s="4" customFormat="1" x14ac:dyDescent="0.35">
      <c r="B2" s="5" t="s">
        <v>38</v>
      </c>
      <c r="C2" s="5"/>
      <c r="D2" s="6"/>
      <c r="E2" s="7"/>
      <c r="F2" s="7"/>
      <c r="G2" s="7"/>
      <c r="H2" s="7"/>
      <c r="I2" s="4" t="s">
        <v>47</v>
      </c>
      <c r="J2" s="4">
        <v>1.5</v>
      </c>
      <c r="K2" s="4">
        <f>1/J2</f>
        <v>0.66666666666666663</v>
      </c>
    </row>
    <row r="3" spans="2:11" s="4" customFormat="1" x14ac:dyDescent="0.35">
      <c r="B3" s="5" t="s">
        <v>43</v>
      </c>
      <c r="C3" s="5"/>
      <c r="D3" s="6"/>
      <c r="E3" s="7"/>
      <c r="F3" s="7"/>
      <c r="G3" s="7"/>
      <c r="H3" s="7"/>
    </row>
    <row r="4" spans="2:11" s="4" customFormat="1" x14ac:dyDescent="0.35">
      <c r="B4" s="5"/>
      <c r="C4" s="5"/>
      <c r="D4" s="6"/>
      <c r="E4" s="7"/>
      <c r="F4" s="7"/>
      <c r="G4" s="7"/>
      <c r="H4" s="7"/>
    </row>
    <row r="5" spans="2:11" s="4" customFormat="1" ht="24" customHeight="1" x14ac:dyDescent="0.35">
      <c r="B5" s="9" t="s">
        <v>11</v>
      </c>
      <c r="C5" s="9" t="s">
        <v>27</v>
      </c>
      <c r="D5" s="9" t="s">
        <v>28</v>
      </c>
      <c r="E5" s="10" t="s">
        <v>35</v>
      </c>
      <c r="F5" s="10" t="s">
        <v>36</v>
      </c>
      <c r="G5" s="10" t="s">
        <v>39</v>
      </c>
      <c r="H5" s="10" t="s">
        <v>12</v>
      </c>
      <c r="I5" s="9" t="s">
        <v>37</v>
      </c>
    </row>
    <row r="6" spans="2:11" s="4" customFormat="1" x14ac:dyDescent="0.35">
      <c r="B6" s="14" t="s">
        <v>15</v>
      </c>
      <c r="C6" s="11" t="s">
        <v>16</v>
      </c>
      <c r="D6" s="11" t="s">
        <v>29</v>
      </c>
      <c r="E6" s="35">
        <v>20000</v>
      </c>
      <c r="F6" s="35">
        <v>21000</v>
      </c>
      <c r="G6" s="12">
        <v>0.12</v>
      </c>
      <c r="H6" s="13">
        <f>F6*G6*12</f>
        <v>30240</v>
      </c>
      <c r="I6" s="38"/>
    </row>
    <row r="7" spans="2:11" s="4" customFormat="1" ht="24" x14ac:dyDescent="0.35">
      <c r="B7" s="14" t="s">
        <v>17</v>
      </c>
      <c r="C7" s="33" t="s">
        <v>18</v>
      </c>
      <c r="D7" s="11" t="s">
        <v>29</v>
      </c>
      <c r="E7" s="35">
        <v>10</v>
      </c>
      <c r="F7" s="35">
        <v>10</v>
      </c>
      <c r="G7" s="12"/>
      <c r="H7" s="13">
        <f>F7*G7*12</f>
        <v>0</v>
      </c>
      <c r="I7" s="38"/>
    </row>
    <row r="8" spans="2:11" s="4" customFormat="1" ht="24" x14ac:dyDescent="0.35">
      <c r="B8" s="14" t="s">
        <v>19</v>
      </c>
      <c r="C8" s="34" t="s">
        <v>20</v>
      </c>
      <c r="D8" s="11" t="s">
        <v>30</v>
      </c>
      <c r="E8" s="36">
        <v>1</v>
      </c>
      <c r="F8" s="36">
        <v>4</v>
      </c>
      <c r="G8" s="12"/>
      <c r="H8" s="13">
        <f>F8*G8*12</f>
        <v>0</v>
      </c>
      <c r="I8" s="38"/>
    </row>
    <row r="9" spans="2:11" s="4" customFormat="1" ht="24" x14ac:dyDescent="0.35">
      <c r="B9" s="56" t="s">
        <v>21</v>
      </c>
      <c r="C9" s="14" t="s">
        <v>21</v>
      </c>
      <c r="D9" s="11" t="s">
        <v>29</v>
      </c>
      <c r="E9" s="35">
        <v>1</v>
      </c>
      <c r="F9" s="35">
        <v>3</v>
      </c>
      <c r="G9" s="12">
        <f>75*$J$2</f>
        <v>112.5</v>
      </c>
      <c r="H9" s="13">
        <f t="shared" ref="H9:H11" si="0">F9*G9*12</f>
        <v>4050</v>
      </c>
      <c r="I9" s="38"/>
    </row>
    <row r="10" spans="2:11" s="4" customFormat="1" ht="24" x14ac:dyDescent="0.35">
      <c r="B10" s="56" t="s">
        <v>22</v>
      </c>
      <c r="C10" s="14" t="s">
        <v>22</v>
      </c>
      <c r="D10" s="14" t="s">
        <v>29</v>
      </c>
      <c r="E10" s="35">
        <v>6</v>
      </c>
      <c r="F10" s="35">
        <v>14</v>
      </c>
      <c r="G10" s="12">
        <f>75*$J$2</f>
        <v>112.5</v>
      </c>
      <c r="H10" s="13">
        <f t="shared" si="0"/>
        <v>18900</v>
      </c>
      <c r="I10" s="39"/>
      <c r="K10" s="45"/>
    </row>
    <row r="11" spans="2:11" s="4" customFormat="1" x14ac:dyDescent="0.35">
      <c r="B11" s="56" t="s">
        <v>23</v>
      </c>
      <c r="C11" s="14" t="s">
        <v>24</v>
      </c>
      <c r="D11" s="14" t="s">
        <v>29</v>
      </c>
      <c r="E11" s="35">
        <v>500</v>
      </c>
      <c r="F11" s="35">
        <v>600</v>
      </c>
      <c r="G11" s="12">
        <f>3.83*J2</f>
        <v>5.7450000000000001</v>
      </c>
      <c r="H11" s="13">
        <f t="shared" si="0"/>
        <v>41364</v>
      </c>
      <c r="I11" s="39"/>
      <c r="K11" s="45"/>
    </row>
    <row r="12" spans="2:11" s="4" customFormat="1" x14ac:dyDescent="0.35">
      <c r="B12" s="56" t="s">
        <v>25</v>
      </c>
      <c r="C12" s="14" t="s">
        <v>26</v>
      </c>
      <c r="D12" s="14" t="s">
        <v>31</v>
      </c>
      <c r="E12" s="35">
        <v>1</v>
      </c>
      <c r="F12" s="35">
        <v>1</v>
      </c>
      <c r="G12" s="15"/>
      <c r="H12" s="13">
        <f>F12*G12</f>
        <v>0</v>
      </c>
      <c r="I12" s="39"/>
    </row>
    <row r="13" spans="2:11" s="4" customFormat="1" x14ac:dyDescent="0.35">
      <c r="B13" s="14" t="s">
        <v>33</v>
      </c>
      <c r="C13" s="14" t="s">
        <v>34</v>
      </c>
      <c r="D13" s="37" t="s">
        <v>32</v>
      </c>
      <c r="E13" s="35">
        <v>1</v>
      </c>
      <c r="F13" s="35">
        <v>1</v>
      </c>
      <c r="G13" s="15">
        <f>12000*$J$2</f>
        <v>18000</v>
      </c>
      <c r="H13" s="13">
        <f>F13*G13</f>
        <v>18000</v>
      </c>
      <c r="I13" s="40"/>
    </row>
    <row r="14" spans="2:11" s="4" customFormat="1" x14ac:dyDescent="0.35">
      <c r="B14" s="16" t="s">
        <v>13</v>
      </c>
      <c r="C14" s="16"/>
      <c r="D14" s="17"/>
      <c r="E14" s="17"/>
      <c r="F14" s="17"/>
      <c r="G14" s="17"/>
      <c r="H14" s="18">
        <f>SUM(H6:H13)</f>
        <v>112554</v>
      </c>
      <c r="I14" s="17"/>
    </row>
    <row r="15" spans="2:11" s="4" customFormat="1" x14ac:dyDescent="0.35">
      <c r="B15" s="19"/>
      <c r="C15" s="19"/>
      <c r="D15" s="8"/>
      <c r="E15" s="20"/>
      <c r="F15" s="20"/>
      <c r="G15" s="20"/>
      <c r="H15" s="47"/>
    </row>
    <row r="16" spans="2:11" s="4" customFormat="1" ht="20.5" customHeight="1" x14ac:dyDescent="0.35">
      <c r="B16" s="21" t="s">
        <v>40</v>
      </c>
      <c r="C16" s="21"/>
      <c r="D16" s="22">
        <f>SUM(H6:H12)*5+H13</f>
        <v>490770</v>
      </c>
      <c r="G16" s="45"/>
      <c r="H16" s="42"/>
    </row>
    <row r="17" spans="4:8" x14ac:dyDescent="0.3">
      <c r="D17" s="44"/>
      <c r="G17" s="46"/>
      <c r="H17" s="43"/>
    </row>
    <row r="19" spans="4:8" x14ac:dyDescent="0.3">
      <c r="H19" s="43"/>
    </row>
    <row r="20" spans="4:8" x14ac:dyDescent="0.3">
      <c r="H20" s="43"/>
    </row>
  </sheetData>
  <mergeCells count="1">
    <mergeCell ref="B1:H1"/>
  </mergeCells>
  <conditionalFormatting sqref="D15">
    <cfRule type="cellIs" dxfId="0" priority="1" stopIfTrue="1" operator="equal">
      <formula>"Please Select Panel Name "</formula>
    </cfRule>
  </conditionalFormatting>
  <dataValidations disablePrompts="1" count="1">
    <dataValidation type="list" allowBlank="1" showInputMessage="1" showErrorMessage="1" sqref="D15" xr:uid="{509074AB-E03E-41ED-A294-2E828776D4F4}">
      <formula1>List</formula1>
    </dataValidation>
  </dataValidations>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2F459-1D62-4FC4-867F-CDA8F8AC7374}">
  <dimension ref="B1:P21"/>
  <sheetViews>
    <sheetView showGridLines="0" workbookViewId="0">
      <selection activeCell="G7" sqref="G7"/>
    </sheetView>
  </sheetViews>
  <sheetFormatPr defaultRowHeight="14.5" x14ac:dyDescent="0.35"/>
  <cols>
    <col min="1" max="1" width="2.7265625" customWidth="1"/>
  </cols>
  <sheetData>
    <row r="1" spans="2:16" ht="18.5" x14ac:dyDescent="0.35">
      <c r="B1" s="54" t="s">
        <v>14</v>
      </c>
      <c r="C1" s="55"/>
      <c r="D1" s="55"/>
      <c r="E1" s="55"/>
      <c r="F1" s="55"/>
      <c r="G1" s="55"/>
      <c r="H1" s="55"/>
      <c r="I1" s="55"/>
      <c r="J1" s="55"/>
      <c r="K1" s="55"/>
      <c r="L1" s="55"/>
      <c r="M1" s="55"/>
      <c r="N1" s="55"/>
      <c r="O1" s="55"/>
      <c r="P1" s="55"/>
    </row>
    <row r="2" spans="2:16" x14ac:dyDescent="0.35">
      <c r="B2" s="5" t="s">
        <v>46</v>
      </c>
    </row>
    <row r="3" spans="2:16" x14ac:dyDescent="0.35">
      <c r="B3" s="25"/>
      <c r="C3" s="26"/>
      <c r="D3" s="26"/>
      <c r="E3" s="26"/>
      <c r="F3" s="26"/>
      <c r="G3" s="26"/>
      <c r="H3" s="26"/>
      <c r="I3" s="26"/>
      <c r="J3" s="26"/>
      <c r="K3" s="26"/>
      <c r="L3" s="26"/>
      <c r="M3" s="26"/>
      <c r="N3" s="26"/>
      <c r="O3" s="26"/>
      <c r="P3" s="27"/>
    </row>
    <row r="4" spans="2:16" x14ac:dyDescent="0.35">
      <c r="B4" s="28"/>
      <c r="P4" s="29"/>
    </row>
    <row r="5" spans="2:16" x14ac:dyDescent="0.35">
      <c r="B5" s="28"/>
      <c r="P5" s="29"/>
    </row>
    <row r="6" spans="2:16" x14ac:dyDescent="0.35">
      <c r="B6" s="28"/>
      <c r="P6" s="29"/>
    </row>
    <row r="7" spans="2:16" x14ac:dyDescent="0.35">
      <c r="B7" s="28"/>
      <c r="P7" s="29"/>
    </row>
    <row r="8" spans="2:16" x14ac:dyDescent="0.35">
      <c r="B8" s="28"/>
      <c r="P8" s="29"/>
    </row>
    <row r="9" spans="2:16" x14ac:dyDescent="0.35">
      <c r="B9" s="28"/>
      <c r="P9" s="29"/>
    </row>
    <row r="10" spans="2:16" x14ac:dyDescent="0.35">
      <c r="B10" s="28"/>
      <c r="P10" s="29"/>
    </row>
    <row r="11" spans="2:16" x14ac:dyDescent="0.35">
      <c r="B11" s="28"/>
      <c r="P11" s="29"/>
    </row>
    <row r="12" spans="2:16" x14ac:dyDescent="0.35">
      <c r="B12" s="28"/>
      <c r="P12" s="29"/>
    </row>
    <row r="13" spans="2:16" x14ac:dyDescent="0.35">
      <c r="B13" s="28"/>
      <c r="P13" s="29"/>
    </row>
    <row r="14" spans="2:16" x14ac:dyDescent="0.35">
      <c r="B14" s="28"/>
      <c r="P14" s="29"/>
    </row>
    <row r="15" spans="2:16" x14ac:dyDescent="0.35">
      <c r="B15" s="28"/>
      <c r="P15" s="29"/>
    </row>
    <row r="16" spans="2:16" x14ac:dyDescent="0.35">
      <c r="B16" s="28"/>
      <c r="P16" s="29"/>
    </row>
    <row r="17" spans="2:16" x14ac:dyDescent="0.35">
      <c r="B17" s="28"/>
      <c r="P17" s="29"/>
    </row>
    <row r="18" spans="2:16" x14ac:dyDescent="0.35">
      <c r="B18" s="28"/>
      <c r="P18" s="29"/>
    </row>
    <row r="19" spans="2:16" x14ac:dyDescent="0.35">
      <c r="B19" s="28"/>
      <c r="P19" s="29"/>
    </row>
    <row r="20" spans="2:16" x14ac:dyDescent="0.35">
      <c r="B20" s="28"/>
      <c r="P20" s="29"/>
    </row>
    <row r="21" spans="2:16" x14ac:dyDescent="0.35">
      <c r="B21" s="30"/>
      <c r="C21" s="31"/>
      <c r="D21" s="31"/>
      <c r="E21" s="31"/>
      <c r="F21" s="31"/>
      <c r="G21" s="31"/>
      <c r="H21" s="31"/>
      <c r="I21" s="31"/>
      <c r="J21" s="31"/>
      <c r="K21" s="31"/>
      <c r="L21" s="31"/>
      <c r="M21" s="31"/>
      <c r="N21" s="31"/>
      <c r="O21" s="31"/>
      <c r="P21" s="32"/>
    </row>
  </sheetData>
  <mergeCells count="1">
    <mergeCell ref="B1:P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28F89A93BFF7408729258AC5236BC0" ma:contentTypeVersion="4" ma:contentTypeDescription="Create a new document." ma:contentTypeScope="" ma:versionID="ca4400ed42df1e32cc5fb37b9fa091d7">
  <xsd:schema xmlns:xsd="http://www.w3.org/2001/XMLSchema" xmlns:xs="http://www.w3.org/2001/XMLSchema" xmlns:p="http://schemas.microsoft.com/office/2006/metadata/properties" xmlns:ns2="50b8c5fd-20f2-4178-ae04-7f3cc6f67d71" xmlns:ns3="42f62b12-1c75-4fb6-991e-8df7ca3e0dea" targetNamespace="http://schemas.microsoft.com/office/2006/metadata/properties" ma:root="true" ma:fieldsID="5100e93ec984f0f1ef09297707928550" ns2:_="" ns3:_="">
    <xsd:import namespace="50b8c5fd-20f2-4178-ae04-7f3cc6f67d71"/>
    <xsd:import namespace="42f62b12-1c75-4fb6-991e-8df7ca3e0de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b8c5fd-20f2-4178-ae04-7f3cc6f67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f62b12-1c75-4fb6-991e-8df7ca3e0de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1FF381-14E9-4C9D-A271-B12D5614A8DF}">
  <ds:schemaRefs>
    <ds:schemaRef ds:uri="http://schemas.microsoft.com/sharepoint/v3/contenttype/forms"/>
  </ds:schemaRefs>
</ds:datastoreItem>
</file>

<file path=customXml/itemProps2.xml><?xml version="1.0" encoding="utf-8"?>
<ds:datastoreItem xmlns:ds="http://schemas.openxmlformats.org/officeDocument/2006/customXml" ds:itemID="{1C97E1F6-5E34-4033-98F2-9E58D09C1737}">
  <ds:schemaRefs>
    <ds:schemaRef ds:uri="http://schemas.microsoft.com/office/2006/metadata/properties"/>
    <ds:schemaRef ds:uri="http://schemas.microsoft.com/office/2006/documentManagement/types"/>
    <ds:schemaRef ds:uri="http://purl.org/dc/terms/"/>
    <ds:schemaRef ds:uri="f9a9d2ff-f887-4e8d-b08d-1547be5c6127"/>
    <ds:schemaRef ds:uri="http://purl.org/dc/dcmitype/"/>
    <ds:schemaRef ds:uri="http://schemas.microsoft.com/office/infopath/2007/PartnerControls"/>
    <ds:schemaRef ds:uri="http://purl.org/dc/elements/1.1/"/>
    <ds:schemaRef ds:uri="http://schemas.openxmlformats.org/package/2006/metadata/core-properties"/>
    <ds:schemaRef ds:uri="99cab937-d347-4999-a2e2-1dcfedcf17b4"/>
    <ds:schemaRef ds:uri="http://www.w3.org/XML/1998/namespace"/>
  </ds:schemaRefs>
</ds:datastoreItem>
</file>

<file path=customXml/itemProps3.xml><?xml version="1.0" encoding="utf-8"?>
<ds:datastoreItem xmlns:ds="http://schemas.openxmlformats.org/officeDocument/2006/customXml" ds:itemID="{83C59B58-20F1-4033-8F33-7F1757B17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b8c5fd-20f2-4178-ae04-7f3cc6f67d71"/>
    <ds:schemaRef ds:uri="42f62b12-1c75-4fb6-991e-8df7ca3e0d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Price Template</vt:lpstr>
      <vt:lpstr>Supplier Rate Card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Katrina Newell</dc:creator>
  <cp:keywords/>
  <dc:description/>
  <cp:lastModifiedBy>Mario Pedraza</cp:lastModifiedBy>
  <cp:revision/>
  <dcterms:created xsi:type="dcterms:W3CDTF">2019-05-27T21:29:36Z</dcterms:created>
  <dcterms:modified xsi:type="dcterms:W3CDTF">2023-08-02T12:53:44Z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0x0101004EDF14155DE5CE44AB990E8428519EAE</vt:lpwstr>
  </property>
</Properties>
</file>