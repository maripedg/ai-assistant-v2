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 Pedraza\Presales\Omniview\"/>
    </mc:Choice>
  </mc:AlternateContent>
  <xr:revisionPtr revIDLastSave="0" documentId="8_{9AE50C22-D9EC-43F3-80F2-2A8AA700E788}" xr6:coauthVersionLast="47" xr6:coauthVersionMax="47" xr10:uidLastSave="{00000000-0000-0000-0000-000000000000}"/>
  <bookViews>
    <workbookView xWindow="28680" yWindow="-120" windowWidth="29040" windowHeight="15720" xr2:uid="{0EAA99B4-9F99-4C5E-B874-94B76D45F72B}"/>
  </bookViews>
  <sheets>
    <sheet name="Total LoE UCa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3" i="2" s="1"/>
  <c r="J12" i="2"/>
  <c r="H12" i="2"/>
  <c r="H13" i="2" s="1"/>
  <c r="E12" i="2"/>
  <c r="E13" i="2" s="1"/>
  <c r="G12" i="2"/>
  <c r="G13" i="2" s="1"/>
  <c r="F12" i="2" l="1"/>
  <c r="F13" i="2" s="1"/>
  <c r="I12" i="2"/>
  <c r="I13" i="2" s="1"/>
  <c r="L9" i="2"/>
  <c r="L8" i="2"/>
  <c r="L7" i="2" l="1"/>
  <c r="D12" i="2"/>
  <c r="D13" i="2" s="1"/>
  <c r="J14" i="2"/>
  <c r="G14" i="2"/>
  <c r="G15" i="2" s="1"/>
  <c r="L11" i="2"/>
  <c r="J5" i="2"/>
  <c r="J13" i="2" s="1"/>
  <c r="J15" i="2" l="1"/>
  <c r="I14" i="2"/>
  <c r="I15" i="2" s="1"/>
  <c r="E14" i="2"/>
  <c r="E15" i="2" s="1"/>
  <c r="H14" i="2"/>
  <c r="H15" i="2" s="1"/>
  <c r="F14" i="2"/>
  <c r="F15" i="2" s="1"/>
  <c r="D14" i="2"/>
  <c r="D15" i="2" s="1"/>
  <c r="K14" i="2"/>
  <c r="K15" i="2" s="1"/>
  <c r="L12" i="2"/>
  <c r="K16" i="2" s="1"/>
  <c r="B18" i="2" s="1"/>
  <c r="G16" i="2" l="1"/>
  <c r="J16" i="2"/>
  <c r="I16" i="2"/>
  <c r="E16" i="2"/>
  <c r="F16" i="2"/>
  <c r="H16" i="2"/>
  <c r="D16" i="2"/>
  <c r="M11" i="2"/>
  <c r="M8" i="2"/>
  <c r="M9" i="2"/>
  <c r="M7" i="2"/>
  <c r="L13" i="2"/>
  <c r="L15" i="2"/>
  <c r="L18" i="2" s="1"/>
  <c r="L19" i="2" s="1"/>
  <c r="L14" i="2"/>
  <c r="B17" i="2" l="1"/>
  <c r="B16" i="2"/>
</calcChain>
</file>

<file path=xl/sharedStrings.xml><?xml version="1.0" encoding="utf-8"?>
<sst xmlns="http://schemas.openxmlformats.org/spreadsheetml/2006/main" count="42" uniqueCount="35">
  <si>
    <t>MX L6</t>
  </si>
  <si>
    <t>CO L5</t>
  </si>
  <si>
    <t>IN L5</t>
  </si>
  <si>
    <t>MX L3</t>
  </si>
  <si>
    <t>Activity</t>
  </si>
  <si>
    <t>Description</t>
  </si>
  <si>
    <t>MS
PM</t>
  </si>
  <si>
    <t>SDM</t>
  </si>
  <si>
    <t>SUS</t>
  </si>
  <si>
    <t>SUS2</t>
  </si>
  <si>
    <t>SME</t>
  </si>
  <si>
    <t>Desk</t>
  </si>
  <si>
    <t>CSS</t>
  </si>
  <si>
    <t>Portal</t>
  </si>
  <si>
    <t>Total
Days</t>
  </si>
  <si>
    <t>Total Days</t>
  </si>
  <si>
    <t>Contingency</t>
  </si>
  <si>
    <t>Cost</t>
  </si>
  <si>
    <t>Total Days Contingency</t>
  </si>
  <si>
    <t>Cost Contingency</t>
  </si>
  <si>
    <t>Margin</t>
  </si>
  <si>
    <t>Expenses</t>
  </si>
  <si>
    <t>Price</t>
  </si>
  <si>
    <t>Monthly Price</t>
  </si>
  <si>
    <t>Project manager Provisioning</t>
  </si>
  <si>
    <t>Global LAD</t>
  </si>
  <si>
    <t>DEPLOYMENT OMNIVIEW</t>
  </si>
  <si>
    <t>Omniview Analysis and Design</t>
  </si>
  <si>
    <t xml:space="preserve">Omniview Software Installation and setup </t>
  </si>
  <si>
    <t>US L5</t>
  </si>
  <si>
    <t>SOP/ Omniview Provisioning</t>
  </si>
  <si>
    <t>Solution validation</t>
  </si>
  <si>
    <t>Global PM/SDM</t>
  </si>
  <si>
    <t>Global NAM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</si>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</sst>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.0_);_(&quot;$&quot;* \(#,##0.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0"/>
      <color rgb="FF312D2A"/>
      <name val="Oracle Sans Tab"/>
      <family val="2"/>
    </font>
    <font>
      <b/>
      <sz val="12"/>
      <color rgb="FF312D2A"/>
      <name val="Oracle Sans Tab"/>
      <family val="2"/>
    </font>
    <font>
      <b/>
      <sz val="14"/>
      <color theme="1"/>
      <name val="Calibri"/>
      <family val="2"/>
      <scheme val="minor"/>
    </font>
    <font>
      <sz val="9"/>
      <color rgb="FF312D2A"/>
      <name val="Oracle Sans Tab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horizontal="center" vertical="center" readingOrder="1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5" fillId="0" borderId="7" xfId="0" applyFont="1" applyBorder="1" applyAlignment="1">
      <alignment vertical="center" readingOrder="1"/>
    </xf>
    <xf numFmtId="0" fontId="0" fillId="3" borderId="2" xfId="0" applyFill="1" applyBorder="1"/>
    <xf numFmtId="0" fontId="4" fillId="3" borderId="8" xfId="0" applyFont="1" applyFill="1" applyBorder="1" applyAlignment="1">
      <alignment horizontal="center" vertical="center" readingOrder="1"/>
    </xf>
    <xf numFmtId="44" fontId="0" fillId="3" borderId="4" xfId="1" applyFont="1" applyFill="1" applyBorder="1"/>
    <xf numFmtId="165" fontId="0" fillId="3" borderId="5" xfId="1" applyNumberFormat="1" applyFont="1" applyFill="1" applyBorder="1"/>
    <xf numFmtId="0" fontId="0" fillId="3" borderId="5" xfId="0" applyFill="1" applyBorder="1"/>
    <xf numFmtId="9" fontId="4" fillId="3" borderId="9" xfId="0" applyNumberFormat="1" applyFont="1" applyFill="1" applyBorder="1" applyAlignment="1">
      <alignment horizontal="center" vertical="center" readingOrder="1"/>
    </xf>
    <xf numFmtId="0" fontId="0" fillId="3" borderId="10" xfId="0" applyFill="1" applyBorder="1"/>
    <xf numFmtId="164" fontId="0" fillId="3" borderId="1" xfId="0" applyNumberFormat="1" applyFill="1" applyBorder="1"/>
    <xf numFmtId="0" fontId="0" fillId="3" borderId="12" xfId="0" applyFill="1" applyBorder="1"/>
    <xf numFmtId="165" fontId="0" fillId="4" borderId="13" xfId="1" applyNumberFormat="1" applyFont="1" applyFill="1" applyBorder="1"/>
    <xf numFmtId="165" fontId="0" fillId="4" borderId="1" xfId="1" applyNumberFormat="1" applyFont="1" applyFill="1" applyBorder="1"/>
    <xf numFmtId="0" fontId="4" fillId="3" borderId="3" xfId="0" applyFont="1" applyFill="1" applyBorder="1" applyAlignment="1">
      <alignment horizontal="center" vertical="center" readingOrder="1"/>
    </xf>
    <xf numFmtId="9" fontId="4" fillId="3" borderId="3" xfId="0" applyNumberFormat="1" applyFont="1" applyFill="1" applyBorder="1" applyAlignment="1">
      <alignment horizontal="center" vertical="center" readingOrder="1"/>
    </xf>
    <xf numFmtId="9" fontId="0" fillId="3" borderId="14" xfId="0" applyNumberFormat="1" applyFill="1" applyBorder="1"/>
    <xf numFmtId="164" fontId="0" fillId="3" borderId="3" xfId="0" applyNumberFormat="1" applyFill="1" applyBorder="1" applyAlignment="1">
      <alignment horizontal="center"/>
    </xf>
    <xf numFmtId="44" fontId="0" fillId="3" borderId="15" xfId="0" applyNumberFormat="1" applyFill="1" applyBorder="1"/>
    <xf numFmtId="0" fontId="2" fillId="3" borderId="12" xfId="0" applyFont="1" applyFill="1" applyBorder="1"/>
    <xf numFmtId="9" fontId="4" fillId="3" borderId="0" xfId="0" applyNumberFormat="1" applyFont="1" applyFill="1" applyAlignment="1">
      <alignment horizontal="center" vertical="center" readingOrder="1"/>
    </xf>
    <xf numFmtId="44" fontId="0" fillId="3" borderId="2" xfId="0" applyNumberFormat="1" applyFill="1" applyBorder="1"/>
    <xf numFmtId="0" fontId="2" fillId="3" borderId="11" xfId="0" applyFont="1" applyFill="1" applyBorder="1"/>
    <xf numFmtId="44" fontId="0" fillId="4" borderId="1" xfId="0" applyNumberFormat="1" applyFill="1" applyBorder="1" applyAlignment="1">
      <alignment horizontal="center"/>
    </xf>
    <xf numFmtId="0" fontId="5" fillId="0" borderId="16" xfId="0" applyFont="1" applyBorder="1" applyAlignment="1">
      <alignment vertical="center" readingOrder="1"/>
    </xf>
    <xf numFmtId="10" fontId="0" fillId="3" borderId="3" xfId="2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textRotation="90"/>
    </xf>
    <xf numFmtId="0" fontId="0" fillId="3" borderId="0" xfId="0" applyFill="1" applyBorder="1"/>
    <xf numFmtId="0" fontId="4" fillId="3" borderId="9" xfId="0" applyFont="1" applyFill="1" applyBorder="1" applyAlignment="1">
      <alignment horizontal="center" vertical="center" readingOrder="1"/>
    </xf>
    <xf numFmtId="164" fontId="0" fillId="4" borderId="9" xfId="0" applyNumberFormat="1" applyFill="1" applyBorder="1"/>
    <xf numFmtId="0" fontId="5" fillId="0" borderId="17" xfId="0" applyFont="1" applyBorder="1" applyAlignment="1">
      <alignment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5" fillId="3" borderId="17" xfId="0" applyFont="1" applyFill="1" applyBorder="1" applyAlignment="1">
      <alignment horizontal="center" vertical="center" readingOrder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164" fontId="0" fillId="4" borderId="2" xfId="0" applyNumberFormat="1" applyFill="1" applyBorder="1"/>
    <xf numFmtId="164" fontId="0" fillId="5" borderId="3" xfId="0" applyNumberFormat="1" applyFill="1" applyBorder="1"/>
    <xf numFmtId="9" fontId="0" fillId="3" borderId="21" xfId="2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 readingOrder="1"/>
    </xf>
    <xf numFmtId="164" fontId="0" fillId="5" borderId="22" xfId="0" applyNumberFormat="1" applyFill="1" applyBorder="1"/>
    <xf numFmtId="164" fontId="0" fillId="0" borderId="23" xfId="0" applyNumberFormat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 wrapText="1" readingOrder="1"/>
    </xf>
    <xf numFmtId="164" fontId="0" fillId="0" borderId="25" xfId="0" applyNumberForma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 readingOrder="1"/>
    </xf>
    <xf numFmtId="164" fontId="0" fillId="5" borderId="26" xfId="0" applyNumberFormat="1" applyFill="1" applyBorder="1"/>
    <xf numFmtId="164" fontId="0" fillId="0" borderId="27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A0B4-0348-4926-8F80-CB24BFDEC13E}">
  <dimension ref="A2:M19"/>
  <sheetViews>
    <sheetView tabSelected="1" zoomScale="85" zoomScaleNormal="85" zoomScaleSheetLayoutView="70" workbookViewId="0">
      <selection activeCell="C25" sqref="C25"/>
    </sheetView>
  </sheetViews>
  <sheetFormatPr defaultColWidth="8.7265625" defaultRowHeight="14.5" x14ac:dyDescent="0.35"/>
  <cols>
    <col min="1" max="1" width="14.6328125" style="3" customWidth="1"/>
    <col min="2" max="2" width="43" style="4" customWidth="1"/>
    <col min="3" max="3" width="78.26953125" style="4" customWidth="1"/>
    <col min="4" max="7" width="13.1796875" style="3" bestFit="1" customWidth="1"/>
    <col min="8" max="8" width="13.1796875" style="3" customWidth="1"/>
    <col min="9" max="9" width="13.1796875" style="3" bestFit="1" customWidth="1"/>
    <col min="10" max="10" width="13.1796875" style="3" customWidth="1"/>
    <col min="11" max="11" width="14.54296875" style="3" bestFit="1" customWidth="1"/>
    <col min="12" max="12" width="28.453125" style="3" customWidth="1"/>
    <col min="13" max="13" width="24.26953125" style="3" bestFit="1" customWidth="1"/>
    <col min="14" max="16384" width="8.7265625" style="3"/>
  </cols>
  <sheetData>
    <row r="2" spans="1:13" x14ac:dyDescent="0.35">
      <c r="A2" s="33" t="s">
        <v>26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1"/>
      <c r="M2" s="2"/>
    </row>
    <row r="3" spans="1:13" ht="15" thickBot="1" x14ac:dyDescent="0.4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1"/>
      <c r="M3" s="2"/>
    </row>
    <row r="4" spans="1:13" ht="15" thickBot="1" x14ac:dyDescent="0.4">
      <c r="D4" s="5" t="s">
        <v>0</v>
      </c>
      <c r="E4" s="5" t="s">
        <v>1</v>
      </c>
      <c r="F4" s="5" t="s">
        <v>2</v>
      </c>
      <c r="G4" s="6" t="s">
        <v>3</v>
      </c>
      <c r="H4" s="6" t="s">
        <v>1</v>
      </c>
      <c r="I4" s="6" t="s">
        <v>3</v>
      </c>
      <c r="J4" s="6" t="s">
        <v>1</v>
      </c>
      <c r="K4" s="6" t="s">
        <v>29</v>
      </c>
    </row>
    <row r="5" spans="1:13" ht="15" thickBot="1" x14ac:dyDescent="0.4">
      <c r="D5" s="6">
        <v>605.59557584892286</v>
      </c>
      <c r="E5" s="6">
        <v>341.4</v>
      </c>
      <c r="F5" s="6">
        <v>164.87104181774234</v>
      </c>
      <c r="G5" s="6">
        <v>213.74</v>
      </c>
      <c r="H5" s="6">
        <v>341.4</v>
      </c>
      <c r="I5" s="6">
        <v>213.74</v>
      </c>
      <c r="J5" s="6">
        <f>H5</f>
        <v>341.4</v>
      </c>
      <c r="K5" s="6">
        <v>872.56</v>
      </c>
      <c r="L5" s="7"/>
    </row>
    <row r="6" spans="1:13" ht="29.5" thickBot="1" x14ac:dyDescent="0.4">
      <c r="A6" s="34"/>
      <c r="B6" s="40" t="s">
        <v>4</v>
      </c>
      <c r="C6" s="41" t="s">
        <v>5</v>
      </c>
      <c r="D6" s="42" t="s">
        <v>6</v>
      </c>
      <c r="E6" s="43" t="s">
        <v>7</v>
      </c>
      <c r="F6" s="42" t="s">
        <v>8</v>
      </c>
      <c r="G6" s="44" t="s">
        <v>9</v>
      </c>
      <c r="H6" s="44" t="s">
        <v>10</v>
      </c>
      <c r="I6" s="44" t="s">
        <v>11</v>
      </c>
      <c r="J6" s="45" t="s">
        <v>12</v>
      </c>
      <c r="K6" s="46" t="s">
        <v>13</v>
      </c>
      <c r="L6" s="47" t="s">
        <v>14</v>
      </c>
      <c r="M6" s="8"/>
    </row>
    <row r="7" spans="1:13" ht="16" x14ac:dyDescent="0.35">
      <c r="A7" s="35"/>
      <c r="B7" s="39" t="s">
        <v>30</v>
      </c>
      <c r="C7" s="51" t="s">
        <v>24</v>
      </c>
      <c r="D7" s="52">
        <v>2</v>
      </c>
      <c r="E7" s="52">
        <v>1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3">
        <f t="shared" ref="L7:L9" si="0">SUM(D7:K7)</f>
        <v>3</v>
      </c>
      <c r="M7" s="50">
        <f>L7/$L$12</f>
        <v>0.125</v>
      </c>
    </row>
    <row r="8" spans="1:13" ht="16" x14ac:dyDescent="0.35">
      <c r="A8" s="35"/>
      <c r="B8" s="31" t="s">
        <v>30</v>
      </c>
      <c r="C8" s="54" t="s">
        <v>27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5</v>
      </c>
      <c r="L8" s="55">
        <f t="shared" si="0"/>
        <v>5</v>
      </c>
      <c r="M8" s="50">
        <f>L8/$L$12</f>
        <v>0.20833333333333334</v>
      </c>
    </row>
    <row r="9" spans="1:13" ht="16" x14ac:dyDescent="0.35">
      <c r="A9" s="35"/>
      <c r="B9" s="31" t="s">
        <v>30</v>
      </c>
      <c r="C9" s="54" t="s">
        <v>28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10</v>
      </c>
      <c r="L9" s="55">
        <f t="shared" si="0"/>
        <v>10</v>
      </c>
      <c r="M9" s="50">
        <f>L9/$L$12</f>
        <v>0.41666666666666669</v>
      </c>
    </row>
    <row r="10" spans="1:13" ht="16.5" thickBot="1" x14ac:dyDescent="0.4">
      <c r="A10" s="35"/>
      <c r="B10" s="9" t="s">
        <v>30</v>
      </c>
      <c r="C10" s="54" t="s">
        <v>34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1</v>
      </c>
      <c r="L10" s="55"/>
      <c r="M10" s="50"/>
    </row>
    <row r="11" spans="1:13" ht="16.5" thickBot="1" x14ac:dyDescent="0.4">
      <c r="A11" s="35"/>
      <c r="B11" s="9" t="s">
        <v>30</v>
      </c>
      <c r="C11" s="56" t="s">
        <v>31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5</v>
      </c>
      <c r="L11" s="58">
        <f t="shared" ref="L11" si="1">SUM(D11:K11)</f>
        <v>5</v>
      </c>
      <c r="M11" s="50">
        <f>L11/$L$12</f>
        <v>0.20833333333333334</v>
      </c>
    </row>
    <row r="12" spans="1:13" ht="15" thickBot="1" x14ac:dyDescent="0.4">
      <c r="A12" s="36"/>
      <c r="C12" s="37"/>
      <c r="D12" s="38">
        <f>SUM(D7:D11)</f>
        <v>2</v>
      </c>
      <c r="E12" s="38">
        <f>SUM(E7:E11)</f>
        <v>1</v>
      </c>
      <c r="F12" s="38">
        <f>SUM(F7:F11)</f>
        <v>0</v>
      </c>
      <c r="G12" s="38">
        <f>SUM(G7:G11)</f>
        <v>0</v>
      </c>
      <c r="H12" s="38">
        <f>SUM(H7:H11)</f>
        <v>0</v>
      </c>
      <c r="I12" s="38">
        <f>SUM(I7:I11)</f>
        <v>0</v>
      </c>
      <c r="J12" s="38">
        <f>SUM(J7:J11)</f>
        <v>0</v>
      </c>
      <c r="K12" s="38">
        <f>SUM(K7:K11)</f>
        <v>21</v>
      </c>
      <c r="L12" s="48">
        <f t="shared" ref="L12:L15" si="2">SUM(D12:K12)</f>
        <v>24</v>
      </c>
      <c r="M12" s="10" t="s">
        <v>15</v>
      </c>
    </row>
    <row r="13" spans="1:13" ht="15" thickBot="1" x14ac:dyDescent="0.4">
      <c r="A13" s="36"/>
      <c r="C13" s="11" t="s">
        <v>16</v>
      </c>
      <c r="D13" s="12">
        <f>D12*D5</f>
        <v>1211.1911516978457</v>
      </c>
      <c r="E13" s="12">
        <f>E12*E5</f>
        <v>341.4</v>
      </c>
      <c r="F13" s="12">
        <f>F12*F5</f>
        <v>0</v>
      </c>
      <c r="G13" s="12">
        <f>G12*G5</f>
        <v>0</v>
      </c>
      <c r="H13" s="12">
        <f>H12*H5</f>
        <v>0</v>
      </c>
      <c r="I13" s="12">
        <f>I12*I5</f>
        <v>0</v>
      </c>
      <c r="J13" s="12">
        <f>J12*J5</f>
        <v>0</v>
      </c>
      <c r="K13" s="12">
        <f>K12*K5</f>
        <v>18323.759999999998</v>
      </c>
      <c r="L13" s="13">
        <f t="shared" si="2"/>
        <v>19876.351151697843</v>
      </c>
      <c r="M13" s="14" t="s">
        <v>17</v>
      </c>
    </row>
    <row r="14" spans="1:13" ht="15" thickBot="1" x14ac:dyDescent="0.4">
      <c r="C14" s="15">
        <v>0.3</v>
      </c>
      <c r="D14" s="16">
        <f>D12*(1+$C$14)</f>
        <v>2.6</v>
      </c>
      <c r="E14" s="16">
        <f t="shared" ref="E14:K14" si="3">E12*(1+$C$14)</f>
        <v>1.3</v>
      </c>
      <c r="F14" s="16">
        <f t="shared" si="3"/>
        <v>0</v>
      </c>
      <c r="G14" s="16">
        <f t="shared" si="3"/>
        <v>0</v>
      </c>
      <c r="H14" s="16">
        <f t="shared" si="3"/>
        <v>0</v>
      </c>
      <c r="I14" s="16">
        <f t="shared" si="3"/>
        <v>0</v>
      </c>
      <c r="J14" s="16">
        <f t="shared" si="3"/>
        <v>0</v>
      </c>
      <c r="K14" s="16">
        <f t="shared" si="3"/>
        <v>27.3</v>
      </c>
      <c r="L14" s="17">
        <f t="shared" si="2"/>
        <v>31.200000000000003</v>
      </c>
      <c r="M14" s="18" t="s">
        <v>18</v>
      </c>
    </row>
    <row r="15" spans="1:13" ht="15" thickBot="1" x14ac:dyDescent="0.4">
      <c r="D15" s="19">
        <f>D14*D5</f>
        <v>1574.5484972071995</v>
      </c>
      <c r="E15" s="19">
        <f>E14*E5</f>
        <v>443.82</v>
      </c>
      <c r="F15" s="19">
        <f>F14*F5</f>
        <v>0</v>
      </c>
      <c r="G15" s="19">
        <f>G14*G5</f>
        <v>0</v>
      </c>
      <c r="H15" s="19">
        <f>H14*H5</f>
        <v>0</v>
      </c>
      <c r="I15" s="19">
        <f>I14*I5</f>
        <v>0</v>
      </c>
      <c r="J15" s="19">
        <f>J14*J5</f>
        <v>0</v>
      </c>
      <c r="K15" s="19">
        <f>K14*K5</f>
        <v>23820.887999999999</v>
      </c>
      <c r="L15" s="20">
        <f t="shared" si="2"/>
        <v>25839.2564972072</v>
      </c>
      <c r="M15" s="18" t="s">
        <v>19</v>
      </c>
    </row>
    <row r="16" spans="1:13" x14ac:dyDescent="0.35">
      <c r="A16" s="21" t="s">
        <v>32</v>
      </c>
      <c r="B16" s="22">
        <f>SUM(D16:E16)</f>
        <v>0.125</v>
      </c>
      <c r="D16" s="32">
        <f>D12/$L$12</f>
        <v>8.3333333333333329E-2</v>
      </c>
      <c r="E16" s="32">
        <f t="shared" ref="E16:K16" si="4">E12/$L$12</f>
        <v>4.1666666666666664E-2</v>
      </c>
      <c r="F16" s="32">
        <f t="shared" si="4"/>
        <v>0</v>
      </c>
      <c r="G16" s="32">
        <f t="shared" si="4"/>
        <v>0</v>
      </c>
      <c r="H16" s="32">
        <f t="shared" si="4"/>
        <v>0</v>
      </c>
      <c r="I16" s="32">
        <f t="shared" si="4"/>
        <v>0</v>
      </c>
      <c r="J16" s="32">
        <f t="shared" si="4"/>
        <v>0</v>
      </c>
      <c r="K16" s="32">
        <f t="shared" si="4"/>
        <v>0.875</v>
      </c>
      <c r="L16" s="23">
        <v>0.5</v>
      </c>
      <c r="M16" s="18" t="s">
        <v>20</v>
      </c>
    </row>
    <row r="17" spans="1:13" ht="15" thickBot="1" x14ac:dyDescent="0.4">
      <c r="A17" s="21" t="s">
        <v>25</v>
      </c>
      <c r="B17" s="22">
        <f>SUM(D16,E16)</f>
        <v>0.125</v>
      </c>
      <c r="D17" s="21"/>
      <c r="E17" s="21"/>
      <c r="F17" s="24"/>
      <c r="G17" s="24"/>
      <c r="H17" s="24"/>
      <c r="I17" s="24"/>
      <c r="J17" s="24"/>
      <c r="K17" s="24"/>
      <c r="L17" s="25">
        <v>0</v>
      </c>
      <c r="M17" s="18" t="s">
        <v>21</v>
      </c>
    </row>
    <row r="18" spans="1:13" ht="15" thickBot="1" x14ac:dyDescent="0.4">
      <c r="A18" s="21" t="s">
        <v>33</v>
      </c>
      <c r="B18" s="22">
        <f>K16</f>
        <v>0.875</v>
      </c>
      <c r="D18" s="4"/>
      <c r="E18" s="4"/>
      <c r="F18" s="4"/>
      <c r="G18" s="4"/>
      <c r="H18" s="4"/>
      <c r="I18" s="4"/>
      <c r="J18" s="4"/>
      <c r="K18" s="4"/>
      <c r="L18" s="30">
        <f>(L15+L17)/(1-L16)</f>
        <v>51678.512994414399</v>
      </c>
      <c r="M18" s="26" t="s">
        <v>22</v>
      </c>
    </row>
    <row r="19" spans="1:13" ht="15" thickBot="1" x14ac:dyDescent="0.4">
      <c r="B19" s="27"/>
      <c r="D19" s="4"/>
      <c r="E19" s="4"/>
      <c r="L19" s="28">
        <f>L18/12</f>
        <v>4306.542749534533</v>
      </c>
      <c r="M19" s="29" t="s">
        <v>23</v>
      </c>
    </row>
  </sheetData>
  <mergeCells count="2">
    <mergeCell ref="A2:K3"/>
    <mergeCell ref="A7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LoE UCaaS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DAMORA</dc:creator>
  <cp:lastModifiedBy>Mario Pedraza Gutierrez</cp:lastModifiedBy>
  <dcterms:created xsi:type="dcterms:W3CDTF">2023-08-25T16:21:20Z</dcterms:created>
  <dcterms:modified xsi:type="dcterms:W3CDTF">2023-12-08T17:51:26Z</dcterms:modified>
</cp:coreProperties>
</file>